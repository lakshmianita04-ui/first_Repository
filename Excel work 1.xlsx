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E3CE59A-F69B-49F8-A42E-04F393240166}" xr6:coauthVersionLast="47" xr6:coauthVersionMax="47" xr10:uidLastSave="{00000000-0000-0000-0000-000000000000}"/>
  <bookViews>
    <workbookView xWindow="-108" yWindow="-108" windowWidth="23256" windowHeight="12456" activeTab="2" xr2:uid="{2D1B6AAC-7950-4F77-A52C-AC0980145CDE}"/>
  </bookViews>
  <sheets>
    <sheet name="Instructions " sheetId="3" r:id="rId1"/>
    <sheet name="Dataset" sheetId="1" r:id="rId2"/>
    <sheet name="Answ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2" i="2" l="1"/>
  <c r="I70" i="2"/>
  <c r="I71" i="2"/>
  <c r="I68" i="2"/>
  <c r="I6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38" i="2"/>
  <c r="D41" i="2"/>
  <c r="D40" i="2"/>
  <c r="D39" i="2"/>
  <c r="D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D43" i="2"/>
  <c r="D42" i="2"/>
  <c r="D3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2" i="2"/>
  <c r="G2" i="2"/>
</calcChain>
</file>

<file path=xl/sharedStrings.xml><?xml version="1.0" encoding="utf-8"?>
<sst xmlns="http://schemas.openxmlformats.org/spreadsheetml/2006/main" count="315" uniqueCount="124">
  <si>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</si>
  <si>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</si>
  <si>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</si>
  <si>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</si>
  <si>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</si>
  <si>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</si>
  <si>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</si>
  <si>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</si>
  <si>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</si>
  <si>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</si>
  <si>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</si>
  <si>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</si>
  <si>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</si>
  <si>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</si>
  <si>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</si>
  <si>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</si>
  <si>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</si>
  <si>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</si>
  <si>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</si>
  <si>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</si>
  <si>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</si>
  <si>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</si>
  <si>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</si>
  <si>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</si>
  <si>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</si>
  <si>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</si>
  <si>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</si>
  <si>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</si>
  <si>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</si>
  <si>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</si>
  <si>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</si>
  <si>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</si>
  <si>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</si>
  <si>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</si>
  <si>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</si>
  <si>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</si>
  <si>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</si>
  <si>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</si>
  <si>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</si>
  <si>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</si>
  <si>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</si>
  <si>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</si>
  <si>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</si>
  <si>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</si>
  <si>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</si>
  <si>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</si>
  <si>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</si>
  <si>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</si>
  <si>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</si>
  <si>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</si>
  <si>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</si>
  <si>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</si>
  <si>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</si>
  <si>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</si>
  <si>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</si>
  <si>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</si>
  <si>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</si>
  <si>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</si>
  <si>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</si>
  <si>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</si>
  <si>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</si>
  <si>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</si>
  <si>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</si>
  <si>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</si>
  <si>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</si>
  <si>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</si>
  <si>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</si>
  <si>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</si>
  <si>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</si>
  <si>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</si>
  <si>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</si>
  <si>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</si>
  <si>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</si>
  <si>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</si>
  <si>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</si>
  <si>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</si>
  <si>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</si>
  <si>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</si>
  <si>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</si>
  <si>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</si>
  <si>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</si>
  <si>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</si>
  <si>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</si>
  <si>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</si>
  <si>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</si>
  <si>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</si>
  <si>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</si>
  <si>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</si>
  <si>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</si>
  <si>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</si>
  <si>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</si>
  <si>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</si>
  <si>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</si>
  <si>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Price Range </t>
  </si>
  <si>
    <t>Day</t>
  </si>
  <si>
    <t>Month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</si>
  <si>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</si>
  <si>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</si>
  <si>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</si>
  <si>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</si>
  <si>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</si>
  <si>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</si>
  <si>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</si>
  <si>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</si>
  <si>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</si>
  <si>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</si>
  <si>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</si>
  <si>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</si>
  <si>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</si>
  <si>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</si>
  <si>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</si>
  <si>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</si>
  <si>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</si>
  <si>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Country Code</t>
  </si>
  <si>
    <t>Total Price of all products in dataset</t>
  </si>
  <si>
    <t>How many products are in a dataset</t>
  </si>
  <si>
    <t xml:space="preserve">Average price of the Products </t>
  </si>
  <si>
    <t>Minimum price among all Products</t>
  </si>
  <si>
    <t xml:space="preserve">Maximum price among all Products </t>
  </si>
  <si>
    <t>Total price of electronis category</t>
  </si>
  <si>
    <t>Count of products less than hundred</t>
  </si>
  <si>
    <t xml:space="preserve">           Total Price of all products by multiplying</t>
  </si>
  <si>
    <t>Product * Quantity</t>
  </si>
  <si>
    <t>Sum of Product * Quantity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</si>
</sst>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E8C51-DA0B-471D-8C5F-F405B8AA2D5C}" name="Table1" displayName="Table1" ref="A1:J35" totalsRowShown="0" headerRowDxfId="0" tableBorderDxfId="7">
  <autoFilter ref="A1:J35" xr:uid="{402E8C51-DA0B-471D-8C5F-F405B8AA2D5C}"/>
  <tableColumns count="10">
    <tableColumn id="1" xr3:uid="{AA20694A-8522-4043-B9A5-FCEAAA3342FC}" name="Product ID" dataDxfId="6"/>
    <tableColumn id="2" xr3:uid="{EBBD080B-659B-4FAC-8A86-FD2734A84EF5}" name="Product Name" dataDxfId="5"/>
    <tableColumn id="3" xr3:uid="{D66146DD-EC9D-4DF0-90F7-C1596F97D3E2}" name="Brand Name" dataDxfId="4"/>
    <tableColumn id="4" xr3:uid="{FE46B916-FFDD-468C-AD5C-C84D02486731}" name="Price ($)" dataDxfId="3"/>
    <tableColumn id="5" xr3:uid="{95AF8338-5662-4757-84F2-2004CDA5BC81}" name="Quantity" dataDxfId="2"/>
    <tableColumn id="6" xr3:uid="{0B9262C6-6880-4D65-97CA-7BB1FCE44243}" name="Category"/>
    <tableColumn id="7" xr3:uid="{95383068-7040-448B-8E4D-B99ECF3B61E4}" name="Price Range " dataDxfId="1">
      <calculatedColumnFormula>IF(D2&gt;=500,"High Price","Standard Price")</calculatedColumnFormula>
    </tableColumn>
    <tableColumn id="8" xr3:uid="{6DDC6DB3-C6E0-45AF-925A-4A8CAA8CDE69}" name="Day">
      <calculatedColumnFormula>LEFT(A2,2)</calculatedColumnFormula>
    </tableColumn>
    <tableColumn id="9" xr3:uid="{74E9A947-8CCA-4CB3-A213-3DD8D9AA1131}" name="Country Code">
      <calculatedColumnFormula>RIGHT(A2,2)</calculatedColumnFormula>
    </tableColumn>
    <tableColumn id="10" xr3:uid="{ABF7FA64-55DE-4E63-B42D-074D99F556C7}" name="Month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68ED-9DDF-4F6A-B0D5-D0DD5F4CAA02}">
  <dimension ref="A1:Z1000"/>
  <sheetViews>
    <sheetView workbookViewId="0">
      <selection activeCell="E23" sqref="E23"/>
    </sheetView>
  </sheetViews>
  <sheetFormatPr defaultRowHeight="14.4" x14ac:dyDescent="0.3"/>
  <sheetData>
    <row r="1" spans="1:26" x14ac:dyDescent="0.3">
      <c r="A1" s="8" t="s">
        <v>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6" x14ac:dyDescent="0.3">
      <c r="A3" s="9"/>
      <c r="B3" s="10" t="s">
        <v>97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6" x14ac:dyDescent="0.3">
      <c r="A4" s="9"/>
      <c r="B4" s="9"/>
      <c r="C4" s="11" t="s">
        <v>98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6" x14ac:dyDescent="0.3">
      <c r="A5" s="9"/>
      <c r="B5" s="9"/>
      <c r="C5" s="11" t="s">
        <v>99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6" x14ac:dyDescent="0.3">
      <c r="A6" s="9"/>
      <c r="B6" s="9"/>
      <c r="C6" s="11" t="s">
        <v>100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6" x14ac:dyDescent="0.3">
      <c r="A8" s="9"/>
      <c r="B8" s="10" t="s">
        <v>101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6" x14ac:dyDescent="0.3">
      <c r="A9" s="9"/>
      <c r="B9" s="9"/>
      <c r="C9" s="11" t="s">
        <v>102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6" x14ac:dyDescent="0.3">
      <c r="A10" s="9"/>
      <c r="B10" s="9"/>
      <c r="C10" s="11" t="s">
        <v>103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6" x14ac:dyDescent="0.3">
      <c r="A12" s="9"/>
      <c r="B12" s="10" t="s">
        <v>104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6" x14ac:dyDescent="0.3">
      <c r="A13" s="9"/>
      <c r="B13" s="9"/>
      <c r="C13" s="11" t="s">
        <v>105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6" x14ac:dyDescent="0.3">
      <c r="A15" s="9"/>
      <c r="B15" s="10" t="s">
        <v>106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6" x14ac:dyDescent="0.3">
      <c r="A16" s="9"/>
      <c r="B16" s="9"/>
      <c r="C16" s="11" t="s">
        <v>107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6" x14ac:dyDescent="0.3">
      <c r="A17" s="9"/>
      <c r="B17" s="9"/>
      <c r="C17" s="11" t="s">
        <v>108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6" x14ac:dyDescent="0.3">
      <c r="A19" s="9"/>
      <c r="B19" s="10" t="s">
        <v>109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6" x14ac:dyDescent="0.3">
      <c r="A20" s="9"/>
      <c r="B20" s="9"/>
      <c r="C20" s="11" t="s">
        <v>110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6" x14ac:dyDescent="0.3">
      <c r="A21" s="9"/>
      <c r="B21" s="9"/>
      <c r="C21" s="11" t="s">
        <v>111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6" x14ac:dyDescent="0.3">
      <c r="A22" s="9"/>
      <c r="B22" s="9"/>
      <c r="C22" s="11" t="s">
        <v>112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A4DC-D168-4704-8A80-F33E44B6BF6D}">
  <dimension ref="A1:F35"/>
  <sheetViews>
    <sheetView workbookViewId="0">
      <selection sqref="A1:F35"/>
    </sheetView>
  </sheetViews>
  <sheetFormatPr defaultRowHeight="14.4" x14ac:dyDescent="0.3"/>
  <cols>
    <col min="1" max="1" width="13.88671875" customWidth="1"/>
    <col min="2" max="2" width="13.33203125" customWidth="1"/>
    <col min="3" max="3" width="13.21875" customWidth="1"/>
    <col min="5" max="5" width="10.109375" customWidth="1"/>
    <col min="6" max="6" width="14.33203125" customWidth="1"/>
  </cols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</row>
    <row r="3" spans="1:6" ht="15" thickBot="1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</row>
    <row r="4" spans="1:6" ht="15" thickBot="1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</row>
    <row r="5" spans="1:6" ht="15" thickBot="1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</row>
    <row r="6" spans="1:6" ht="15" thickBot="1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</row>
    <row r="7" spans="1:6" ht="15" thickBot="1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</row>
    <row r="8" spans="1:6" ht="15" thickBot="1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</row>
    <row r="9" spans="1:6" ht="15" thickBot="1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</row>
    <row r="10" spans="1:6" ht="15" thickBot="1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</row>
    <row r="11" spans="1:6" ht="15" thickBot="1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</row>
    <row r="12" spans="1:6" ht="15" thickBot="1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</row>
    <row r="13" spans="1:6" ht="15" thickBot="1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</row>
    <row r="14" spans="1:6" ht="15" thickBot="1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</row>
    <row r="15" spans="1:6" ht="15" thickBot="1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</row>
    <row r="16" spans="1:6" ht="15" thickBot="1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</row>
    <row r="17" spans="1:6" ht="15" thickBot="1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</row>
    <row r="18" spans="1:6" ht="15" thickBot="1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</row>
    <row r="19" spans="1:6" ht="15" thickBot="1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</row>
    <row r="20" spans="1:6" ht="15" thickBot="1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</row>
    <row r="21" spans="1:6" ht="15" thickBot="1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</row>
    <row r="22" spans="1:6" ht="15" thickBot="1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</row>
    <row r="23" spans="1:6" ht="15" thickBot="1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</row>
    <row r="24" spans="1:6" ht="27.6" thickBot="1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</row>
    <row r="25" spans="1:6" ht="15" thickBot="1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</row>
    <row r="26" spans="1:6" ht="15" thickBot="1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</row>
    <row r="27" spans="1:6" ht="15" thickBot="1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</row>
    <row r="28" spans="1:6" ht="15" thickBot="1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</row>
    <row r="29" spans="1:6" ht="15" thickBot="1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</row>
    <row r="30" spans="1:6" ht="15" thickBot="1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</row>
    <row r="31" spans="1:6" ht="15" thickBot="1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</row>
    <row r="32" spans="1:6" ht="27.6" thickBot="1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</row>
    <row r="33" spans="1:6" ht="15" thickBot="1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</row>
    <row r="34" spans="1:6" ht="15" thickBot="1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</row>
    <row r="35" spans="1:6" ht="15" thickBot="1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4A27-600F-4C80-A0FF-D4D019D3DFC9}">
  <dimension ref="A1:J72"/>
  <sheetViews>
    <sheetView tabSelected="1" zoomScale="69" workbookViewId="0">
      <selection activeCell="E19" sqref="E19"/>
    </sheetView>
  </sheetViews>
  <sheetFormatPr defaultRowHeight="14.4" x14ac:dyDescent="0.3"/>
  <cols>
    <col min="1" max="1" width="15.77734375" customWidth="1"/>
    <col min="2" max="2" width="15.44140625" customWidth="1"/>
    <col min="3" max="3" width="14.109375" customWidth="1"/>
    <col min="4" max="4" width="13.77734375" customWidth="1"/>
    <col min="5" max="5" width="13.44140625" customWidth="1"/>
    <col min="6" max="6" width="18.6640625" customWidth="1"/>
    <col min="7" max="7" width="19" customWidth="1"/>
    <col min="8" max="8" width="10.5546875" customWidth="1"/>
    <col min="9" max="9" width="14.88671875" customWidth="1"/>
  </cols>
  <sheetData>
    <row r="1" spans="1:10" ht="15" thickBot="1" x14ac:dyDescent="0.3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93</v>
      </c>
      <c r="H1" s="6" t="s">
        <v>94</v>
      </c>
      <c r="I1" s="6" t="s">
        <v>113</v>
      </c>
      <c r="J1" s="6" t="s">
        <v>95</v>
      </c>
    </row>
    <row r="2" spans="1:10" ht="15" thickBot="1" x14ac:dyDescent="0.35">
      <c r="A2" s="14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s="7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" thickBot="1" x14ac:dyDescent="0.35">
      <c r="A3" s="15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s="7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" thickBot="1" x14ac:dyDescent="0.35">
      <c r="A4" s="14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s="7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" thickBot="1" x14ac:dyDescent="0.35">
      <c r="A5" s="15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7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" thickBot="1" x14ac:dyDescent="0.35">
      <c r="A6" s="14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s="7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" thickBot="1" x14ac:dyDescent="0.35">
      <c r="A7" s="15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s="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" thickBot="1" x14ac:dyDescent="0.35">
      <c r="A8" s="14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7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" thickBot="1" x14ac:dyDescent="0.35">
      <c r="A9" s="15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7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" thickBot="1" x14ac:dyDescent="0.35">
      <c r="A10" s="14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7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" thickBot="1" x14ac:dyDescent="0.35">
      <c r="A11" s="15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s="7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" thickBot="1" x14ac:dyDescent="0.35">
      <c r="A12" s="14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s="7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" thickBot="1" x14ac:dyDescent="0.35">
      <c r="A13" s="15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s="7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" thickBot="1" x14ac:dyDescent="0.35">
      <c r="A14" s="14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s="7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" thickBot="1" x14ac:dyDescent="0.35">
      <c r="A15" s="15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s="7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" thickBot="1" x14ac:dyDescent="0.35">
      <c r="A16" s="14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s="7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" thickBot="1" x14ac:dyDescent="0.35">
      <c r="A17" s="15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s="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" thickBot="1" x14ac:dyDescent="0.35">
      <c r="A18" s="14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s="7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" thickBot="1" x14ac:dyDescent="0.35">
      <c r="A19" s="15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s="7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" thickBot="1" x14ac:dyDescent="0.35">
      <c r="A20" s="14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s="7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" thickBot="1" x14ac:dyDescent="0.35">
      <c r="A21" s="15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s="7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" thickBot="1" x14ac:dyDescent="0.35">
      <c r="A22" s="14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s="7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" thickBot="1" x14ac:dyDescent="0.35">
      <c r="A23" s="15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s="7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" thickBot="1" x14ac:dyDescent="0.35">
      <c r="A24" s="14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s="7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" thickBot="1" x14ac:dyDescent="0.35">
      <c r="A25" s="15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s="7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" thickBot="1" x14ac:dyDescent="0.35">
      <c r="A26" s="14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s="7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" thickBot="1" x14ac:dyDescent="0.35">
      <c r="A27" s="15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s="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" thickBot="1" x14ac:dyDescent="0.35">
      <c r="A28" s="14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s="7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" thickBot="1" x14ac:dyDescent="0.35">
      <c r="A29" s="15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s="7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" thickBot="1" x14ac:dyDescent="0.35">
      <c r="A30" s="14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s="7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" thickBot="1" x14ac:dyDescent="0.35">
      <c r="A31" s="15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s="7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" thickBot="1" x14ac:dyDescent="0.35">
      <c r="A32" s="14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s="7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" thickBot="1" x14ac:dyDescent="0.35">
      <c r="A33" s="15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s="7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" thickBot="1" x14ac:dyDescent="0.35">
      <c r="A34" s="14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s="7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" thickBot="1" x14ac:dyDescent="0.35">
      <c r="A35" s="15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12" t="s">
        <v>53</v>
      </c>
      <c r="G35" s="7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7" spans="1:10" x14ac:dyDescent="0.3">
      <c r="A37" s="16" t="s">
        <v>114</v>
      </c>
      <c r="B37" s="16"/>
      <c r="C37" s="9"/>
      <c r="D37">
        <f>SUM(D2:D35)</f>
        <v>10100</v>
      </c>
      <c r="G37" s="16" t="s">
        <v>121</v>
      </c>
      <c r="H37" s="16"/>
      <c r="I37" t="s">
        <v>122</v>
      </c>
    </row>
    <row r="38" spans="1:10" x14ac:dyDescent="0.3">
      <c r="A38" s="16" t="s">
        <v>115</v>
      </c>
      <c r="B38" s="16"/>
      <c r="C38" s="17"/>
      <c r="D38" s="17">
        <f>COUNTA(B12:B35)</f>
        <v>24</v>
      </c>
      <c r="I38">
        <f>PRODUCT(D2*E2)</f>
        <v>30000</v>
      </c>
    </row>
    <row r="39" spans="1:10" x14ac:dyDescent="0.3">
      <c r="A39" s="16" t="s">
        <v>116</v>
      </c>
      <c r="B39" s="16"/>
      <c r="D39">
        <f>AVERAGE(D2:D35)</f>
        <v>297.05882352941177</v>
      </c>
      <c r="I39">
        <f t="shared" ref="I39:I83" si="4">PRODUCT(D3*E3)</f>
        <v>1200</v>
      </c>
    </row>
    <row r="40" spans="1:10" x14ac:dyDescent="0.3">
      <c r="A40" s="16" t="s">
        <v>117</v>
      </c>
      <c r="B40" s="16"/>
      <c r="D40">
        <f>MIN(D2:D35)</f>
        <v>30</v>
      </c>
      <c r="I40">
        <f t="shared" si="4"/>
        <v>5200</v>
      </c>
    </row>
    <row r="41" spans="1:10" x14ac:dyDescent="0.3">
      <c r="A41" s="16" t="s">
        <v>118</v>
      </c>
      <c r="B41" s="16"/>
      <c r="D41">
        <f>MAX(D2:D35)</f>
        <v>1000</v>
      </c>
      <c r="I41">
        <f t="shared" si="4"/>
        <v>22500</v>
      </c>
    </row>
    <row r="42" spans="1:10" x14ac:dyDescent="0.3">
      <c r="A42" s="16" t="s">
        <v>119</v>
      </c>
      <c r="B42" s="16"/>
      <c r="D42">
        <f>SUMIF(F2:F34,"Electronics",D2:D35)</f>
        <v>8050</v>
      </c>
      <c r="I42">
        <f t="shared" si="4"/>
        <v>1400</v>
      </c>
    </row>
    <row r="43" spans="1:10" x14ac:dyDescent="0.3">
      <c r="A43" s="16" t="s">
        <v>120</v>
      </c>
      <c r="B43" s="16"/>
      <c r="D43">
        <f>COUNTIF(D2:D35,"&lt;100")</f>
        <v>11</v>
      </c>
      <c r="I43">
        <f t="shared" si="4"/>
        <v>9000</v>
      </c>
    </row>
    <row r="44" spans="1:10" x14ac:dyDescent="0.3">
      <c r="I44">
        <f t="shared" si="4"/>
        <v>150</v>
      </c>
    </row>
    <row r="45" spans="1:10" x14ac:dyDescent="0.3">
      <c r="I45">
        <f t="shared" si="4"/>
        <v>3150</v>
      </c>
    </row>
    <row r="46" spans="1:10" x14ac:dyDescent="0.3">
      <c r="I46">
        <f t="shared" si="4"/>
        <v>25000</v>
      </c>
    </row>
    <row r="47" spans="1:10" x14ac:dyDescent="0.3">
      <c r="I47">
        <f t="shared" si="4"/>
        <v>1300</v>
      </c>
    </row>
    <row r="48" spans="1:10" x14ac:dyDescent="0.3">
      <c r="I48">
        <f t="shared" si="4"/>
        <v>23750</v>
      </c>
    </row>
    <row r="49" spans="9:9" x14ac:dyDescent="0.3">
      <c r="I49">
        <f t="shared" si="4"/>
        <v>3600</v>
      </c>
    </row>
    <row r="50" spans="9:9" x14ac:dyDescent="0.3">
      <c r="I50">
        <f t="shared" si="4"/>
        <v>4200</v>
      </c>
    </row>
    <row r="51" spans="9:9" x14ac:dyDescent="0.3">
      <c r="I51">
        <f t="shared" si="4"/>
        <v>2250</v>
      </c>
    </row>
    <row r="52" spans="9:9" x14ac:dyDescent="0.3">
      <c r="I52">
        <f t="shared" si="4"/>
        <v>5000</v>
      </c>
    </row>
    <row r="53" spans="9:9" x14ac:dyDescent="0.3">
      <c r="I53">
        <f t="shared" si="4"/>
        <v>1750</v>
      </c>
    </row>
    <row r="54" spans="9:9" x14ac:dyDescent="0.3">
      <c r="I54">
        <f t="shared" si="4"/>
        <v>2400</v>
      </c>
    </row>
    <row r="55" spans="9:9" x14ac:dyDescent="0.3">
      <c r="I55">
        <f t="shared" si="4"/>
        <v>9800</v>
      </c>
    </row>
    <row r="56" spans="9:9" x14ac:dyDescent="0.3">
      <c r="I56">
        <f t="shared" si="4"/>
        <v>2250</v>
      </c>
    </row>
    <row r="57" spans="9:9" x14ac:dyDescent="0.3">
      <c r="I57">
        <f t="shared" si="4"/>
        <v>2000</v>
      </c>
    </row>
    <row r="58" spans="9:9" x14ac:dyDescent="0.3">
      <c r="I58">
        <f t="shared" si="4"/>
        <v>35000</v>
      </c>
    </row>
    <row r="59" spans="9:9" x14ac:dyDescent="0.3">
      <c r="I59">
        <f t="shared" si="4"/>
        <v>1600</v>
      </c>
    </row>
    <row r="60" spans="9:9" x14ac:dyDescent="0.3">
      <c r="I60">
        <f t="shared" si="4"/>
        <v>4500</v>
      </c>
    </row>
    <row r="61" spans="9:9" x14ac:dyDescent="0.3">
      <c r="I61">
        <f t="shared" si="4"/>
        <v>1750</v>
      </c>
    </row>
    <row r="62" spans="9:9" x14ac:dyDescent="0.3">
      <c r="I62">
        <f t="shared" si="4"/>
        <v>36000</v>
      </c>
    </row>
    <row r="63" spans="9:9" x14ac:dyDescent="0.3">
      <c r="I63">
        <f t="shared" si="4"/>
        <v>3250</v>
      </c>
    </row>
    <row r="64" spans="9:9" x14ac:dyDescent="0.3">
      <c r="I64">
        <f t="shared" si="4"/>
        <v>16000</v>
      </c>
    </row>
    <row r="65" spans="7:9" x14ac:dyDescent="0.3">
      <c r="I65">
        <f t="shared" si="4"/>
        <v>4600</v>
      </c>
    </row>
    <row r="66" spans="7:9" x14ac:dyDescent="0.3">
      <c r="I66">
        <f t="shared" si="4"/>
        <v>1800</v>
      </c>
    </row>
    <row r="67" spans="7:9" x14ac:dyDescent="0.3">
      <c r="I67">
        <f t="shared" si="4"/>
        <v>400</v>
      </c>
    </row>
    <row r="68" spans="7:9" x14ac:dyDescent="0.3">
      <c r="I68">
        <f>PRODUCT(D32*E32)</f>
        <v>650</v>
      </c>
    </row>
    <row r="69" spans="7:9" x14ac:dyDescent="0.3">
      <c r="I69">
        <f t="shared" si="4"/>
        <v>2500</v>
      </c>
    </row>
    <row r="70" spans="7:9" x14ac:dyDescent="0.3">
      <c r="I70">
        <f>PRODUCT(D34*E34)</f>
        <v>23750</v>
      </c>
    </row>
    <row r="71" spans="7:9" x14ac:dyDescent="0.3">
      <c r="I71">
        <f t="shared" si="4"/>
        <v>2000</v>
      </c>
    </row>
    <row r="72" spans="7:9" x14ac:dyDescent="0.3">
      <c r="G72" t="s">
        <v>123</v>
      </c>
      <c r="I72">
        <f>SUM(I38:I71)</f>
        <v>289700</v>
      </c>
    </row>
  </sheetData>
  <mergeCells count="8">
    <mergeCell ref="A43:B43"/>
    <mergeCell ref="G37:H37"/>
    <mergeCell ref="A37:B37"/>
    <mergeCell ref="A38:B38"/>
    <mergeCell ref="A39:B39"/>
    <mergeCell ref="A40:B40"/>
    <mergeCell ref="A41:B41"/>
    <mergeCell ref="A42:B4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 </vt:lpstr>
      <vt:lpstr>Dataset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Lakshmi</dc:creator>
  <cp:lastModifiedBy>lakshmi Lakshmi</cp:lastModifiedBy>
  <dcterms:created xsi:type="dcterms:W3CDTF">2026-09-24T06:57:49Z</dcterms:created>
  <dcterms:modified xsi:type="dcterms:W3CDTF">2026-09-25T06:56:54Z</dcterms:modified>
</cp:coreProperties>
</file>